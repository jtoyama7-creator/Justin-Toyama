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udit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$#,##0"/>
  </numFmts>
  <fonts count="3">
    <font>
      <name val="Calibri"/>
      <family val="2"/>
      <color theme="1"/>
      <sz val="11"/>
      <scheme val="minor"/>
    </font>
    <font>
      <b val="1"/>
      <color rgb="00024731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24731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2B2B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USD Proceeds vs Settlement EUR/USD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'Sensitivity'!$A$4:$A$24</f>
            </numRef>
          </cat>
          <val>
            <numRef>
              <f>'Sensitivity'!$B$4:$B$24</f>
            </numRef>
          </val>
        </ser>
        <ser>
          <idx val="1"/>
          <order val="1"/>
          <tx>
            <strRef>
              <f>'Sensitivity'!C3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'Sensitivity'!$A$4:$A$24</f>
            </numRef>
          </cat>
          <val>
            <numRef>
              <f>'Sensitivity'!$C$4:$C$24</f>
            </numRef>
          </val>
        </ser>
        <ser>
          <idx val="2"/>
          <order val="2"/>
          <tx>
            <strRef>
              <f>'Sensitivity'!D3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'Sensitivity'!$A$4:$A$24</f>
            </numRef>
          </cat>
          <val>
            <numRef>
              <f>'Sensitivity'!$D$4:$D$24</f>
            </numRef>
          </val>
        </ser>
        <ser>
          <idx val="3"/>
          <order val="3"/>
          <tx>
            <strRef>
              <f>'Sensitivity'!E3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'Sensitivity'!$A$4:$A$24</f>
            </numRef>
          </cat>
          <val>
            <numRef>
              <f>'Sensitivity'!$E$4:$E$24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EUR/USD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proceeds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1" t="inlineStr">
        <is>
          <t>U.S. Pharmaceutical Exporter — FX Transaction Hedge Model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Student</t>
        </is>
      </c>
      <c r="B3" s="2" t="inlineStr">
        <is>
          <t>Justin Toyama</t>
        </is>
      </c>
      <c r="C3" s="2" t="n"/>
      <c r="D3" s="2" t="n"/>
      <c r="E3" s="2" t="n"/>
      <c r="F3" s="2" t="n"/>
    </row>
    <row r="4">
      <c r="A4" s="2" t="inlineStr">
        <is>
          <t>Scenario</t>
        </is>
      </c>
      <c r="B4" s="2" t="inlineStr">
        <is>
          <t>2 — U.S. Pharmaceutical Exporter</t>
        </is>
      </c>
      <c r="C4" s="2" t="n"/>
      <c r="D4" s="2" t="n"/>
      <c r="E4" s="2" t="n"/>
      <c r="F4" s="2" t="n"/>
    </row>
    <row r="5">
      <c r="A5" s="2" t="inlineStr">
        <is>
          <t>Exposure</t>
        </is>
      </c>
      <c r="B5" s="2" t="inlineStr">
        <is>
          <t>EUR receivable</t>
        </is>
      </c>
      <c r="C5" s="2" t="n"/>
      <c r="D5" s="2" t="n"/>
      <c r="E5" s="2" t="n"/>
      <c r="F5" s="2" t="n"/>
    </row>
    <row r="6">
      <c r="A6" s="2" t="inlineStr">
        <is>
          <t>FC Amount</t>
        </is>
      </c>
      <c r="B6" s="3" t="n">
        <v>8000000</v>
      </c>
      <c r="C6" s="2" t="n"/>
      <c r="D6" s="2" t="n"/>
      <c r="E6" s="2" t="n"/>
      <c r="F6" s="2" t="n"/>
    </row>
    <row r="7">
      <c r="A7" s="2" t="inlineStr">
        <is>
          <t>Spot S0_in (USD/EUR)</t>
        </is>
      </c>
      <c r="B7" s="4" t="n">
        <v>1.089</v>
      </c>
      <c r="C7" s="2" t="n"/>
      <c r="D7" s="2" t="n"/>
      <c r="E7" s="2" t="n"/>
      <c r="F7" s="2" t="n"/>
    </row>
    <row r="8">
      <c r="A8" s="2" t="inlineStr">
        <is>
          <t>Forward F0_in (USD/EUR)</t>
        </is>
      </c>
      <c r="B8" s="2" t="inlineStr">
        <is>
          <t>TBD</t>
        </is>
      </c>
      <c r="C8" s="2" t="n"/>
      <c r="D8" s="2" t="n"/>
      <c r="E8" s="2" t="n"/>
      <c r="F8" s="2" t="n"/>
    </row>
    <row r="9">
      <c r="A9" s="2" t="inlineStr">
        <is>
          <t>USD interest rate</t>
        </is>
      </c>
      <c r="B9" s="2" t="inlineStr">
        <is>
          <t>TBD</t>
        </is>
      </c>
      <c r="C9" s="2" t="n"/>
      <c r="D9" s="2" t="n"/>
      <c r="E9" s="2" t="n"/>
      <c r="F9" s="2" t="n"/>
    </row>
    <row r="10">
      <c r="A10" s="2" t="inlineStr">
        <is>
          <t>EUR interest rate</t>
        </is>
      </c>
      <c r="B10" s="2" t="inlineStr">
        <is>
          <t>TBD</t>
        </is>
      </c>
      <c r="C10" s="2" t="n"/>
      <c r="D10" s="2" t="n"/>
      <c r="E10" s="2" t="n"/>
      <c r="F10" s="2" t="n"/>
    </row>
    <row r="11">
      <c r="A11" s="2" t="inlineStr">
        <is>
          <t>Settlement days</t>
        </is>
      </c>
      <c r="B11" s="2" t="inlineStr">
        <is>
          <t>TBD</t>
        </is>
      </c>
      <c r="C11" s="2" t="n"/>
      <c r="D11" s="2" t="n"/>
      <c r="E11" s="2" t="n"/>
      <c r="F11" s="2" t="n"/>
    </row>
    <row r="12">
      <c r="A12" s="2" t="inlineStr">
        <is>
          <t>Day-count basis</t>
        </is>
      </c>
      <c r="B12" s="2" t="n">
        <v>365</v>
      </c>
      <c r="C12" s="2" t="n"/>
      <c r="D12" s="2" t="n"/>
      <c r="E12" s="2" t="n"/>
      <c r="F12" s="2" t="n"/>
    </row>
    <row r="13">
      <c r="A13" s="2" t="inlineStr">
        <is>
          <t>Put strike K_PUT</t>
        </is>
      </c>
      <c r="B13" s="2" t="inlineStr">
        <is>
          <t>TBD</t>
        </is>
      </c>
      <c r="C13" s="2" t="n"/>
      <c r="D13" s="2" t="n"/>
      <c r="E13" s="2" t="n"/>
      <c r="F13" s="2" t="n"/>
    </row>
    <row r="14">
      <c r="A14" s="2" t="inlineStr">
        <is>
          <t>Put premium</t>
        </is>
      </c>
      <c r="B14" s="2" t="inlineStr">
        <is>
          <t>TBD</t>
        </is>
      </c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inlineStr">
        <is>
          <t>Status</t>
        </is>
      </c>
      <c r="B16" s="5" t="inlineStr">
        <is>
          <t>INCOMPLETE — required market inputs are TBD</t>
        </is>
      </c>
      <c r="C16" s="2" t="n"/>
      <c r="D16" s="2" t="n"/>
      <c r="E16" s="2" t="n"/>
      <c r="F16" s="2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Strategy Summary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Metric</t>
        </is>
      </c>
      <c r="B3" s="6" t="inlineStr">
        <is>
          <t>No Hedge</t>
        </is>
      </c>
      <c r="C3" s="6" t="inlineStr">
        <is>
          <t>Forward</t>
        </is>
      </c>
      <c r="D3" s="6" t="inlineStr">
        <is>
          <t>Money Market</t>
        </is>
      </c>
      <c r="E3" s="6" t="inlineStr">
        <is>
          <t>EUR Put</t>
        </is>
      </c>
      <c r="F3" s="2" t="n"/>
    </row>
    <row r="4">
      <c r="A4" s="2" t="inlineStr">
        <is>
          <t>Base-case USD proceeds</t>
        </is>
      </c>
      <c r="B4" s="7">
        <f>Inputs!B6*Inputs!B7</f>
        <v/>
      </c>
      <c r="C4" s="7">
        <f>IF(ISNUMBER(Inputs!B8),Inputs!B6*Inputs!B8,NA())</f>
        <v/>
      </c>
      <c r="D4" s="7">
        <f>IF(AND(ISNUMBER(Inputs!B9),ISNUMBER(Inputs!B10),ISNUMBER(Inputs!B11)),(Inputs!B6/(1+Inputs!B10*Inputs!B11/Inputs!B12))*Inputs!B7*(1+Inputs!B9*Inputs!B11/Inputs!B12),NA())</f>
        <v/>
      </c>
      <c r="E4" s="7">
        <f>IF(AND(ISNUMBER(Inputs!B13),ISNUMBER(Inputs!B14),ISNUMBER(Inputs!B9),ISNUMBER(Inputs!B11)),MAX(Inputs!B7,Inputs!B13)*Inputs!B6-Inputs!B14*Inputs!B6*(1+Inputs!B9*Inputs!B11/Inputs!B12),NA())</f>
        <v/>
      </c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inlineStr">
        <is>
          <t>Audit status</t>
        </is>
      </c>
      <c r="B6" s="5">
        <f>IF(COUNT(C4:E4)=3,"PASS — all strategy calculations populated","BLOCKED — missing market inputs")</f>
        <v/>
      </c>
      <c r="C6" s="2" t="n"/>
      <c r="D6" s="2" t="n"/>
      <c r="E6" s="2" t="n"/>
      <c r="F6" s="2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1" t="inlineStr">
        <is>
          <t>Settlement Spot Sensitivity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S_T</t>
        </is>
      </c>
      <c r="B3" s="6" t="inlineStr">
        <is>
          <t>No Hedge</t>
        </is>
      </c>
      <c r="C3" s="6" t="inlineStr">
        <is>
          <t>Forward</t>
        </is>
      </c>
      <c r="D3" s="6" t="inlineStr">
        <is>
          <t>Money Market</t>
        </is>
      </c>
      <c r="E3" s="6" t="inlineStr">
        <is>
          <t>EUR Put</t>
        </is>
      </c>
      <c r="F3" s="6" t="inlineStr">
        <is>
          <t>Best Active Hedge</t>
        </is>
      </c>
    </row>
    <row r="4">
      <c r="A4" s="4" t="n">
        <v>0.98</v>
      </c>
      <c r="B4" s="7">
        <f>A4*Inputs!B6</f>
        <v/>
      </c>
      <c r="C4" s="7">
        <f>IF(ISNUMBER(Inputs!B8),Inputs!B6*Inputs!B8,NA())</f>
        <v/>
      </c>
      <c r="D4" s="7">
        <f>IF(AND(ISNUMBER(Inputs!B9),ISNUMBER(Inputs!B10),ISNUMBER(Inputs!B11)),(Inputs!B6/(1+Inputs!B10*Inputs!B11/Inputs!B12))*Inputs!B7*(1+Inputs!B9*Inputs!B11/Inputs!B12),NA())</f>
        <v/>
      </c>
      <c r="E4" s="7">
        <f>IF(AND(ISNUMBER(Inputs!B13),ISNUMBER(Inputs!B14),ISNUMBER(Inputs!B9),ISNUMBER(Inputs!B11)),MAX(A4,Inputs!B13)*Inputs!B6-Inputs!B14*Inputs!B6*(1+Inputs!B9*Inputs!B11/Inputs!B12),NA())</f>
        <v/>
      </c>
      <c r="F4" s="2">
        <f>IF(COUNT(C4:E4)=0,"NO VALID HEDGE",INDEX(C$3:E$3,MATCH(MAX(C4:E4),C4:E4,0)))</f>
        <v/>
      </c>
    </row>
    <row r="5">
      <c r="A5" s="4" t="n">
        <v>0.991</v>
      </c>
      <c r="B5" s="7">
        <f>A5*Inputs!B6</f>
        <v/>
      </c>
      <c r="C5" s="7">
        <f>IF(ISNUMBER(Inputs!B8),Inputs!B6*Inputs!B8,NA())</f>
        <v/>
      </c>
      <c r="D5" s="7">
        <f>IF(AND(ISNUMBER(Inputs!B9),ISNUMBER(Inputs!B10),ISNUMBER(Inputs!B11)),(Inputs!B6/(1+Inputs!B10*Inputs!B11/Inputs!B12))*Inputs!B7*(1+Inputs!B9*Inputs!B11/Inputs!B12),NA())</f>
        <v/>
      </c>
      <c r="E5" s="7">
        <f>IF(AND(ISNUMBER(Inputs!B13),ISNUMBER(Inputs!B14),ISNUMBER(Inputs!B9),ISNUMBER(Inputs!B11)),MAX(A5,Inputs!B13)*Inputs!B6-Inputs!B14*Inputs!B6*(1+Inputs!B9*Inputs!B11/Inputs!B12),NA())</f>
        <v/>
      </c>
      <c r="F5" s="2">
        <f>IF(COUNT(C5:E5)=0,"NO VALID HEDGE",INDEX(C$3:E$3,MATCH(MAX(C5:E5),C5:E5,0)))</f>
        <v/>
      </c>
    </row>
    <row r="6">
      <c r="A6" s="4" t="n">
        <v>1.002</v>
      </c>
      <c r="B6" s="7">
        <f>A6*Inputs!B6</f>
        <v/>
      </c>
      <c r="C6" s="7">
        <f>IF(ISNUMBER(Inputs!B8),Inputs!B6*Inputs!B8,NA())</f>
        <v/>
      </c>
      <c r="D6" s="7">
        <f>IF(AND(ISNUMBER(Inputs!B9),ISNUMBER(Inputs!B10),ISNUMBER(Inputs!B11)),(Inputs!B6/(1+Inputs!B10*Inputs!B11/Inputs!B12))*Inputs!B7*(1+Inputs!B9*Inputs!B11/Inputs!B12),NA())</f>
        <v/>
      </c>
      <c r="E6" s="7">
        <f>IF(AND(ISNUMBER(Inputs!B13),ISNUMBER(Inputs!B14),ISNUMBER(Inputs!B9),ISNUMBER(Inputs!B11)),MAX(A6,Inputs!B13)*Inputs!B6-Inputs!B14*Inputs!B6*(1+Inputs!B9*Inputs!B11/Inputs!B12),NA())</f>
        <v/>
      </c>
      <c r="F6" s="2">
        <f>IF(COUNT(C6:E6)=0,"NO VALID HEDGE",INDEX(C$3:E$3,MATCH(MAX(C6:E6),C6:E6,0)))</f>
        <v/>
      </c>
    </row>
    <row r="7">
      <c r="A7" s="4" t="n">
        <v>1.013</v>
      </c>
      <c r="B7" s="7">
        <f>A7*Inputs!B6</f>
        <v/>
      </c>
      <c r="C7" s="7">
        <f>IF(ISNUMBER(Inputs!B8),Inputs!B6*Inputs!B8,NA())</f>
        <v/>
      </c>
      <c r="D7" s="7">
        <f>IF(AND(ISNUMBER(Inputs!B9),ISNUMBER(Inputs!B10),ISNUMBER(Inputs!B11)),(Inputs!B6/(1+Inputs!B10*Inputs!B11/Inputs!B12))*Inputs!B7*(1+Inputs!B9*Inputs!B11/Inputs!B12),NA())</f>
        <v/>
      </c>
      <c r="E7" s="7">
        <f>IF(AND(ISNUMBER(Inputs!B13),ISNUMBER(Inputs!B14),ISNUMBER(Inputs!B9),ISNUMBER(Inputs!B11)),MAX(A7,Inputs!B13)*Inputs!B6-Inputs!B14*Inputs!B6*(1+Inputs!B9*Inputs!B11/Inputs!B12),NA())</f>
        <v/>
      </c>
      <c r="F7" s="2">
        <f>IF(COUNT(C7:E7)=0,"NO VALID HEDGE",INDEX(C$3:E$3,MATCH(MAX(C7:E7),C7:E7,0)))</f>
        <v/>
      </c>
    </row>
    <row r="8">
      <c r="A8" s="4" t="n">
        <v>1.024</v>
      </c>
      <c r="B8" s="7">
        <f>A8*Inputs!B6</f>
        <v/>
      </c>
      <c r="C8" s="7">
        <f>IF(ISNUMBER(Inputs!B8),Inputs!B6*Inputs!B8,NA())</f>
        <v/>
      </c>
      <c r="D8" s="7">
        <f>IF(AND(ISNUMBER(Inputs!B9),ISNUMBER(Inputs!B10),ISNUMBER(Inputs!B11)),(Inputs!B6/(1+Inputs!B10*Inputs!B11/Inputs!B12))*Inputs!B7*(1+Inputs!B9*Inputs!B11/Inputs!B12),NA())</f>
        <v/>
      </c>
      <c r="E8" s="7">
        <f>IF(AND(ISNUMBER(Inputs!B13),ISNUMBER(Inputs!B14),ISNUMBER(Inputs!B9),ISNUMBER(Inputs!B11)),MAX(A8,Inputs!B13)*Inputs!B6-Inputs!B14*Inputs!B6*(1+Inputs!B9*Inputs!B11/Inputs!B12),NA())</f>
        <v/>
      </c>
      <c r="F8" s="2">
        <f>IF(COUNT(C8:E8)=0,"NO VALID HEDGE",INDEX(C$3:E$3,MATCH(MAX(C8:E8),C8:E8,0)))</f>
        <v/>
      </c>
    </row>
    <row r="9">
      <c r="A9" s="4" t="n">
        <v>1.035</v>
      </c>
      <c r="B9" s="7">
        <f>A9*Inputs!B6</f>
        <v/>
      </c>
      <c r="C9" s="7">
        <f>IF(ISNUMBER(Inputs!B8),Inputs!B6*Inputs!B8,NA())</f>
        <v/>
      </c>
      <c r="D9" s="7">
        <f>IF(AND(ISNUMBER(Inputs!B9),ISNUMBER(Inputs!B10),ISNUMBER(Inputs!B11)),(Inputs!B6/(1+Inputs!B10*Inputs!B11/Inputs!B12))*Inputs!B7*(1+Inputs!B9*Inputs!B11/Inputs!B12),NA())</f>
        <v/>
      </c>
      <c r="E9" s="7">
        <f>IF(AND(ISNUMBER(Inputs!B13),ISNUMBER(Inputs!B14),ISNUMBER(Inputs!B9),ISNUMBER(Inputs!B11)),MAX(A9,Inputs!B13)*Inputs!B6-Inputs!B14*Inputs!B6*(1+Inputs!B9*Inputs!B11/Inputs!B12),NA())</f>
        <v/>
      </c>
      <c r="F9" s="2">
        <f>IF(COUNT(C9:E9)=0,"NO VALID HEDGE",INDEX(C$3:E$3,MATCH(MAX(C9:E9),C9:E9,0)))</f>
        <v/>
      </c>
    </row>
    <row r="10">
      <c r="A10" s="4" t="n">
        <v>1.046</v>
      </c>
      <c r="B10" s="7">
        <f>A10*Inputs!B6</f>
        <v/>
      </c>
      <c r="C10" s="7">
        <f>IF(ISNUMBER(Inputs!B8),Inputs!B6*Inputs!B8,NA())</f>
        <v/>
      </c>
      <c r="D10" s="7">
        <f>IF(AND(ISNUMBER(Inputs!B9),ISNUMBER(Inputs!B10),ISNUMBER(Inputs!B11)),(Inputs!B6/(1+Inputs!B10*Inputs!B11/Inputs!B12))*Inputs!B7*(1+Inputs!B9*Inputs!B11/Inputs!B12),NA())</f>
        <v/>
      </c>
      <c r="E10" s="7">
        <f>IF(AND(ISNUMBER(Inputs!B13),ISNUMBER(Inputs!B14),ISNUMBER(Inputs!B9),ISNUMBER(Inputs!B11)),MAX(A10,Inputs!B13)*Inputs!B6-Inputs!B14*Inputs!B6*(1+Inputs!B9*Inputs!B11/Inputs!B12),NA())</f>
        <v/>
      </c>
      <c r="F10" s="2">
        <f>IF(COUNT(C10:E10)=0,"NO VALID HEDGE",INDEX(C$3:E$3,MATCH(MAX(C10:E10),C10:E10,0)))</f>
        <v/>
      </c>
    </row>
    <row r="11">
      <c r="A11" s="4" t="n">
        <v>1.057</v>
      </c>
      <c r="B11" s="7">
        <f>A11*Inputs!B6</f>
        <v/>
      </c>
      <c r="C11" s="7">
        <f>IF(ISNUMBER(Inputs!B8),Inputs!B6*Inputs!B8,NA())</f>
        <v/>
      </c>
      <c r="D11" s="7">
        <f>IF(AND(ISNUMBER(Inputs!B9),ISNUMBER(Inputs!B10),ISNUMBER(Inputs!B11)),(Inputs!B6/(1+Inputs!B10*Inputs!B11/Inputs!B12))*Inputs!B7*(1+Inputs!B9*Inputs!B11/Inputs!B12),NA())</f>
        <v/>
      </c>
      <c r="E11" s="7">
        <f>IF(AND(ISNUMBER(Inputs!B13),ISNUMBER(Inputs!B14),ISNUMBER(Inputs!B9),ISNUMBER(Inputs!B11)),MAX(A11,Inputs!B13)*Inputs!B6-Inputs!B14*Inputs!B6*(1+Inputs!B9*Inputs!B11/Inputs!B12),NA())</f>
        <v/>
      </c>
      <c r="F11" s="2">
        <f>IF(COUNT(C11:E11)=0,"NO VALID HEDGE",INDEX(C$3:E$3,MATCH(MAX(C11:E11),C11:E11,0)))</f>
        <v/>
      </c>
    </row>
    <row r="12">
      <c r="A12" s="4" t="n">
        <v>1.068</v>
      </c>
      <c r="B12" s="7">
        <f>A12*Inputs!B6</f>
        <v/>
      </c>
      <c r="C12" s="7">
        <f>IF(ISNUMBER(Inputs!B8),Inputs!B6*Inputs!B8,NA())</f>
        <v/>
      </c>
      <c r="D12" s="7">
        <f>IF(AND(ISNUMBER(Inputs!B9),ISNUMBER(Inputs!B10),ISNUMBER(Inputs!B11)),(Inputs!B6/(1+Inputs!B10*Inputs!B11/Inputs!B12))*Inputs!B7*(1+Inputs!B9*Inputs!B11/Inputs!B12),NA())</f>
        <v/>
      </c>
      <c r="E12" s="7">
        <f>IF(AND(ISNUMBER(Inputs!B13),ISNUMBER(Inputs!B14),ISNUMBER(Inputs!B9),ISNUMBER(Inputs!B11)),MAX(A12,Inputs!B13)*Inputs!B6-Inputs!B14*Inputs!B6*(1+Inputs!B9*Inputs!B11/Inputs!B12),NA())</f>
        <v/>
      </c>
      <c r="F12" s="2">
        <f>IF(COUNT(C12:E12)=0,"NO VALID HEDGE",INDEX(C$3:E$3,MATCH(MAX(C12:E12),C12:E12,0)))</f>
        <v/>
      </c>
    </row>
    <row r="13">
      <c r="A13" s="4" t="n">
        <v>1.079</v>
      </c>
      <c r="B13" s="7">
        <f>A13*Inputs!B6</f>
        <v/>
      </c>
      <c r="C13" s="7">
        <f>IF(ISNUMBER(Inputs!B8),Inputs!B6*Inputs!B8,NA())</f>
        <v/>
      </c>
      <c r="D13" s="7">
        <f>IF(AND(ISNUMBER(Inputs!B9),ISNUMBER(Inputs!B10),ISNUMBER(Inputs!B11)),(Inputs!B6/(1+Inputs!B10*Inputs!B11/Inputs!B12))*Inputs!B7*(1+Inputs!B9*Inputs!B11/Inputs!B12),NA())</f>
        <v/>
      </c>
      <c r="E13" s="7">
        <f>IF(AND(ISNUMBER(Inputs!B13),ISNUMBER(Inputs!B14),ISNUMBER(Inputs!B9),ISNUMBER(Inputs!B11)),MAX(A13,Inputs!B13)*Inputs!B6-Inputs!B14*Inputs!B6*(1+Inputs!B9*Inputs!B11/Inputs!B12),NA())</f>
        <v/>
      </c>
      <c r="F13" s="2">
        <f>IF(COUNT(C13:E13)=0,"NO VALID HEDGE",INDEX(C$3:E$3,MATCH(MAX(C13:E13),C13:E13,0)))</f>
        <v/>
      </c>
    </row>
    <row r="14">
      <c r="A14" s="4" t="n">
        <v>1.089</v>
      </c>
      <c r="B14" s="7">
        <f>A14*Inputs!B6</f>
        <v/>
      </c>
      <c r="C14" s="7">
        <f>IF(ISNUMBER(Inputs!B8),Inputs!B6*Inputs!B8,NA())</f>
        <v/>
      </c>
      <c r="D14" s="7">
        <f>IF(AND(ISNUMBER(Inputs!B9),ISNUMBER(Inputs!B10),ISNUMBER(Inputs!B11)),(Inputs!B6/(1+Inputs!B10*Inputs!B11/Inputs!B12))*Inputs!B7*(1+Inputs!B9*Inputs!B11/Inputs!B12),NA())</f>
        <v/>
      </c>
      <c r="E14" s="7">
        <f>IF(AND(ISNUMBER(Inputs!B13),ISNUMBER(Inputs!B14),ISNUMBER(Inputs!B9),ISNUMBER(Inputs!B11)),MAX(A14,Inputs!B13)*Inputs!B6-Inputs!B14*Inputs!B6*(1+Inputs!B9*Inputs!B11/Inputs!B12),NA())</f>
        <v/>
      </c>
      <c r="F14" s="2">
        <f>IF(COUNT(C14:E14)=0,"NO VALID HEDGE",INDEX(C$3:E$3,MATCH(MAX(C14:E14),C14:E14,0)))</f>
        <v/>
      </c>
    </row>
    <row r="15">
      <c r="A15" s="4" t="n">
        <v>1.099</v>
      </c>
      <c r="B15" s="7">
        <f>A15*Inputs!B6</f>
        <v/>
      </c>
      <c r="C15" s="7">
        <f>IF(ISNUMBER(Inputs!B8),Inputs!B6*Inputs!B8,NA())</f>
        <v/>
      </c>
      <c r="D15" s="7">
        <f>IF(AND(ISNUMBER(Inputs!B9),ISNUMBER(Inputs!B10),ISNUMBER(Inputs!B11)),(Inputs!B6/(1+Inputs!B10*Inputs!B11/Inputs!B12))*Inputs!B7*(1+Inputs!B9*Inputs!B11/Inputs!B12),NA())</f>
        <v/>
      </c>
      <c r="E15" s="7">
        <f>IF(AND(ISNUMBER(Inputs!B13),ISNUMBER(Inputs!B14),ISNUMBER(Inputs!B9),ISNUMBER(Inputs!B11)),MAX(A15,Inputs!B13)*Inputs!B6-Inputs!B14*Inputs!B6*(1+Inputs!B9*Inputs!B11/Inputs!B12),NA())</f>
        <v/>
      </c>
      <c r="F15" s="2">
        <f>IF(COUNT(C15:E15)=0,"NO VALID HEDGE",INDEX(C$3:E$3,MATCH(MAX(C15:E15),C15:E15,0)))</f>
        <v/>
      </c>
    </row>
    <row r="16">
      <c r="A16" s="4" t="n">
        <v>1.111</v>
      </c>
      <c r="B16" s="7">
        <f>A16*Inputs!B6</f>
        <v/>
      </c>
      <c r="C16" s="7">
        <f>IF(ISNUMBER(Inputs!B8),Inputs!B6*Inputs!B8,NA())</f>
        <v/>
      </c>
      <c r="D16" s="7">
        <f>IF(AND(ISNUMBER(Inputs!B9),ISNUMBER(Inputs!B10),ISNUMBER(Inputs!B11)),(Inputs!B6/(1+Inputs!B10*Inputs!B11/Inputs!B12))*Inputs!B7*(1+Inputs!B9*Inputs!B11/Inputs!B12),NA())</f>
        <v/>
      </c>
      <c r="E16" s="7">
        <f>IF(AND(ISNUMBER(Inputs!B13),ISNUMBER(Inputs!B14),ISNUMBER(Inputs!B9),ISNUMBER(Inputs!B11)),MAX(A16,Inputs!B13)*Inputs!B6-Inputs!B14*Inputs!B6*(1+Inputs!B9*Inputs!B11/Inputs!B12),NA())</f>
        <v/>
      </c>
      <c r="F16" s="2">
        <f>IF(COUNT(C16:E16)=0,"NO VALID HEDGE",INDEX(C$3:E$3,MATCH(MAX(C16:E16),C16:E16,0)))</f>
        <v/>
      </c>
    </row>
    <row r="17">
      <c r="A17" s="4" t="n">
        <v>1.122</v>
      </c>
      <c r="B17" s="7">
        <f>A17*Inputs!B6</f>
        <v/>
      </c>
      <c r="C17" s="7">
        <f>IF(ISNUMBER(Inputs!B8),Inputs!B6*Inputs!B8,NA())</f>
        <v/>
      </c>
      <c r="D17" s="7">
        <f>IF(AND(ISNUMBER(Inputs!B9),ISNUMBER(Inputs!B10),ISNUMBER(Inputs!B11)),(Inputs!B6/(1+Inputs!B10*Inputs!B11/Inputs!B12))*Inputs!B7*(1+Inputs!B9*Inputs!B11/Inputs!B12),NA())</f>
        <v/>
      </c>
      <c r="E17" s="7">
        <f>IF(AND(ISNUMBER(Inputs!B13),ISNUMBER(Inputs!B14),ISNUMBER(Inputs!B9),ISNUMBER(Inputs!B11)),MAX(A17,Inputs!B13)*Inputs!B6-Inputs!B14*Inputs!B6*(1+Inputs!B9*Inputs!B11/Inputs!B12),NA())</f>
        <v/>
      </c>
      <c r="F17" s="2">
        <f>IF(COUNT(C17:E17)=0,"NO VALID HEDGE",INDEX(C$3:E$3,MATCH(MAX(C17:E17),C17:E17,0)))</f>
        <v/>
      </c>
    </row>
    <row r="18">
      <c r="A18" s="4" t="n">
        <v>1.133</v>
      </c>
      <c r="B18" s="7">
        <f>A18*Inputs!B6</f>
        <v/>
      </c>
      <c r="C18" s="7">
        <f>IF(ISNUMBER(Inputs!B8),Inputs!B6*Inputs!B8,NA())</f>
        <v/>
      </c>
      <c r="D18" s="7">
        <f>IF(AND(ISNUMBER(Inputs!B9),ISNUMBER(Inputs!B10),ISNUMBER(Inputs!B11)),(Inputs!B6/(1+Inputs!B10*Inputs!B11/Inputs!B12))*Inputs!B7*(1+Inputs!B9*Inputs!B11/Inputs!B12),NA())</f>
        <v/>
      </c>
      <c r="E18" s="7">
        <f>IF(AND(ISNUMBER(Inputs!B13),ISNUMBER(Inputs!B14),ISNUMBER(Inputs!B9),ISNUMBER(Inputs!B11)),MAX(A18,Inputs!B13)*Inputs!B6-Inputs!B14*Inputs!B6*(1+Inputs!B9*Inputs!B11/Inputs!B12),NA())</f>
        <v/>
      </c>
      <c r="F18" s="2">
        <f>IF(COUNT(C18:E18)=0,"NO VALID HEDGE",INDEX(C$3:E$3,MATCH(MAX(C18:E18),C18:E18,0)))</f>
        <v/>
      </c>
    </row>
    <row r="19">
      <c r="A19" s="4" t="n">
        <v>1.144</v>
      </c>
      <c r="B19" s="7">
        <f>A19*Inputs!B6</f>
        <v/>
      </c>
      <c r="C19" s="7">
        <f>IF(ISNUMBER(Inputs!B8),Inputs!B6*Inputs!B8,NA())</f>
        <v/>
      </c>
      <c r="D19" s="7">
        <f>IF(AND(ISNUMBER(Inputs!B9),ISNUMBER(Inputs!B10),ISNUMBER(Inputs!B11)),(Inputs!B6/(1+Inputs!B10*Inputs!B11/Inputs!B12))*Inputs!B7*(1+Inputs!B9*Inputs!B11/Inputs!B12),NA())</f>
        <v/>
      </c>
      <c r="E19" s="7">
        <f>IF(AND(ISNUMBER(Inputs!B13),ISNUMBER(Inputs!B14),ISNUMBER(Inputs!B9),ISNUMBER(Inputs!B11)),MAX(A19,Inputs!B13)*Inputs!B6-Inputs!B14*Inputs!B6*(1+Inputs!B9*Inputs!B11/Inputs!B12),NA())</f>
        <v/>
      </c>
      <c r="F19" s="2">
        <f>IF(COUNT(C19:E19)=0,"NO VALID HEDGE",INDEX(C$3:E$3,MATCH(MAX(C19:E19),C19:E19,0)))</f>
        <v/>
      </c>
    </row>
    <row r="20">
      <c r="A20" s="4" t="n">
        <v>1.155</v>
      </c>
      <c r="B20" s="7">
        <f>A20*Inputs!B6</f>
        <v/>
      </c>
      <c r="C20" s="7">
        <f>IF(ISNUMBER(Inputs!B8),Inputs!B6*Inputs!B8,NA())</f>
        <v/>
      </c>
      <c r="D20" s="7">
        <f>IF(AND(ISNUMBER(Inputs!B9),ISNUMBER(Inputs!B10),ISNUMBER(Inputs!B11)),(Inputs!B6/(1+Inputs!B10*Inputs!B11/Inputs!B12))*Inputs!B7*(1+Inputs!B9*Inputs!B11/Inputs!B12),NA())</f>
        <v/>
      </c>
      <c r="E20" s="7">
        <f>IF(AND(ISNUMBER(Inputs!B13),ISNUMBER(Inputs!B14),ISNUMBER(Inputs!B9),ISNUMBER(Inputs!B11)),MAX(A20,Inputs!B13)*Inputs!B6-Inputs!B14*Inputs!B6*(1+Inputs!B9*Inputs!B11/Inputs!B12),NA())</f>
        <v/>
      </c>
      <c r="F20" s="2">
        <f>IF(COUNT(C20:E20)=0,"NO VALID HEDGE",INDEX(C$3:E$3,MATCH(MAX(C20:E20),C20:E20,0)))</f>
        <v/>
      </c>
    </row>
    <row r="21">
      <c r="A21" s="4" t="n">
        <v>1.166</v>
      </c>
      <c r="B21" s="7">
        <f>A21*Inputs!B6</f>
        <v/>
      </c>
      <c r="C21" s="7">
        <f>IF(ISNUMBER(Inputs!B8),Inputs!B6*Inputs!B8,NA())</f>
        <v/>
      </c>
      <c r="D21" s="7">
        <f>IF(AND(ISNUMBER(Inputs!B9),ISNUMBER(Inputs!B10),ISNUMBER(Inputs!B11)),(Inputs!B6/(1+Inputs!B10*Inputs!B11/Inputs!B12))*Inputs!B7*(1+Inputs!B9*Inputs!B11/Inputs!B12),NA())</f>
        <v/>
      </c>
      <c r="E21" s="7">
        <f>IF(AND(ISNUMBER(Inputs!B13),ISNUMBER(Inputs!B14),ISNUMBER(Inputs!B9),ISNUMBER(Inputs!B11)),MAX(A21,Inputs!B13)*Inputs!B6-Inputs!B14*Inputs!B6*(1+Inputs!B9*Inputs!B11/Inputs!B12),NA())</f>
        <v/>
      </c>
      <c r="F21" s="2">
        <f>IF(COUNT(C21:E21)=0,"NO VALID HEDGE",INDEX(C$3:E$3,MATCH(MAX(C21:E21),C21:E21,0)))</f>
        <v/>
      </c>
    </row>
    <row r="22">
      <c r="A22" s="4" t="n">
        <v>1.177</v>
      </c>
      <c r="B22" s="7">
        <f>A22*Inputs!B6</f>
        <v/>
      </c>
      <c r="C22" s="7">
        <f>IF(ISNUMBER(Inputs!B8),Inputs!B6*Inputs!B8,NA())</f>
        <v/>
      </c>
      <c r="D22" s="7">
        <f>IF(AND(ISNUMBER(Inputs!B9),ISNUMBER(Inputs!B10),ISNUMBER(Inputs!B11)),(Inputs!B6/(1+Inputs!B10*Inputs!B11/Inputs!B12))*Inputs!B7*(1+Inputs!B9*Inputs!B11/Inputs!B12),NA())</f>
        <v/>
      </c>
      <c r="E22" s="7">
        <f>IF(AND(ISNUMBER(Inputs!B13),ISNUMBER(Inputs!B14),ISNUMBER(Inputs!B9),ISNUMBER(Inputs!B11)),MAX(A22,Inputs!B13)*Inputs!B6-Inputs!B14*Inputs!B6*(1+Inputs!B9*Inputs!B11/Inputs!B12),NA())</f>
        <v/>
      </c>
      <c r="F22" s="2">
        <f>IF(COUNT(C22:E22)=0,"NO VALID HEDGE",INDEX(C$3:E$3,MATCH(MAX(C22:E22),C22:E22,0)))</f>
        <v/>
      </c>
    </row>
    <row r="23">
      <c r="A23" s="4" t="n">
        <v>1.188</v>
      </c>
      <c r="B23" s="7">
        <f>A23*Inputs!B6</f>
        <v/>
      </c>
      <c r="C23" s="7">
        <f>IF(ISNUMBER(Inputs!B8),Inputs!B6*Inputs!B8,NA())</f>
        <v/>
      </c>
      <c r="D23" s="7">
        <f>IF(AND(ISNUMBER(Inputs!B9),ISNUMBER(Inputs!B10),ISNUMBER(Inputs!B11)),(Inputs!B6/(1+Inputs!B10*Inputs!B11/Inputs!B12))*Inputs!B7*(1+Inputs!B9*Inputs!B11/Inputs!B12),NA())</f>
        <v/>
      </c>
      <c r="E23" s="7">
        <f>IF(AND(ISNUMBER(Inputs!B13),ISNUMBER(Inputs!B14),ISNUMBER(Inputs!B9),ISNUMBER(Inputs!B11)),MAX(A23,Inputs!B13)*Inputs!B6-Inputs!B14*Inputs!B6*(1+Inputs!B9*Inputs!B11/Inputs!B12),NA())</f>
        <v/>
      </c>
      <c r="F23" s="2">
        <f>IF(COUNT(C23:E23)=0,"NO VALID HEDGE",INDEX(C$3:E$3,MATCH(MAX(C23:E23),C23:E23,0)))</f>
        <v/>
      </c>
    </row>
    <row r="24">
      <c r="A24" s="4" t="n">
        <v>1.198</v>
      </c>
      <c r="B24" s="7">
        <f>A24*Inputs!B6</f>
        <v/>
      </c>
      <c r="C24" s="7">
        <f>IF(ISNUMBER(Inputs!B8),Inputs!B6*Inputs!B8,NA())</f>
        <v/>
      </c>
      <c r="D24" s="7">
        <f>IF(AND(ISNUMBER(Inputs!B9),ISNUMBER(Inputs!B10),ISNUMBER(Inputs!B11)),(Inputs!B6/(1+Inputs!B10*Inputs!B11/Inputs!B12))*Inputs!B7*(1+Inputs!B9*Inputs!B11/Inputs!B12),NA())</f>
        <v/>
      </c>
      <c r="E24" s="7">
        <f>IF(AND(ISNUMBER(Inputs!B13),ISNUMBER(Inputs!B14),ISNUMBER(Inputs!B9),ISNUMBER(Inputs!B11)),MAX(A24,Inputs!B13)*Inputs!B6-Inputs!B14*Inputs!B6*(1+Inputs!B9*Inputs!B11/Inputs!B12),NA())</f>
        <v/>
      </c>
      <c r="F24" s="2">
        <f>IF(COUNT(C24:E24)=0,"NO VALID HEDGE",INDEX(C$3:E$3,MATCH(MAX(C24:E24),C24:E24,0)))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8" customWidth="1" min="3" max="3"/>
    <col width="14" customWidth="1" min="4" max="4"/>
  </cols>
  <sheetData>
    <row r="1">
      <c r="A1" s="1" t="inlineStr">
        <is>
          <t>Stage 3 Audit — Specification → Workbook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Test</t>
        </is>
      </c>
      <c r="B3" s="6" t="inlineStr">
        <is>
          <t>Expected</t>
        </is>
      </c>
      <c r="C3" s="6" t="inlineStr">
        <is>
          <t>Observed / Check</t>
        </is>
      </c>
      <c r="D3" s="6" t="inlineStr">
        <is>
          <t>Status</t>
        </is>
      </c>
      <c r="E3" s="2" t="n"/>
      <c r="F3" s="2" t="n"/>
    </row>
    <row r="4">
      <c r="A4" s="2" t="inlineStr">
        <is>
          <t>Exposure amount</t>
        </is>
      </c>
      <c r="B4" s="2" t="inlineStr">
        <is>
          <t>8,000,000 EUR</t>
        </is>
      </c>
      <c r="C4" s="2" t="inlineStr">
        <is>
          <t>Inputs!B6 = 8,000,000</t>
        </is>
      </c>
      <c r="D4" s="8" t="inlineStr">
        <is>
          <t>PASS</t>
        </is>
      </c>
      <c r="E4" s="2" t="n"/>
      <c r="F4" s="2" t="n"/>
    </row>
    <row r="5">
      <c r="A5" s="2" t="inlineStr">
        <is>
          <t>Spot quote</t>
        </is>
      </c>
      <c r="B5" s="2" t="inlineStr">
        <is>
          <t>1.0890 USD/EUR</t>
        </is>
      </c>
      <c r="C5" s="2" t="inlineStr">
        <is>
          <t>Inputs!B7 = 1.0890</t>
        </is>
      </c>
      <c r="D5" s="8" t="inlineStr">
        <is>
          <t>PASS</t>
        </is>
      </c>
      <c r="E5" s="2" t="n"/>
      <c r="F5" s="2" t="n"/>
    </row>
    <row r="6">
      <c r="A6" s="2" t="inlineStr">
        <is>
          <t>Current USD value</t>
        </is>
      </c>
      <c r="B6" s="2" t="inlineStr">
        <is>
          <t>$8,712,000</t>
        </is>
      </c>
      <c r="C6" s="2" t="inlineStr">
        <is>
          <t>Inputs!B6*Inputs!B7</t>
        </is>
      </c>
      <c r="D6" s="8" t="inlineStr">
        <is>
          <t>PASS</t>
        </is>
      </c>
      <c r="E6" s="2" t="n"/>
      <c r="F6" s="2" t="n"/>
    </row>
    <row r="7">
      <c r="A7" s="2" t="inlineStr">
        <is>
          <t>Forward calculation</t>
        </is>
      </c>
      <c r="B7" s="2" t="inlineStr">
        <is>
          <t>FC_AMT × F0_in</t>
        </is>
      </c>
      <c r="C7" s="2" t="inlineStr">
        <is>
          <t>Formula present; blocked until F0_in supplied</t>
        </is>
      </c>
      <c r="D7" s="9" t="inlineStr">
        <is>
          <t>BLOCKED</t>
        </is>
      </c>
      <c r="E7" s="2" t="n"/>
      <c r="F7" s="2" t="n"/>
    </row>
    <row r="8">
      <c r="A8" s="2" t="inlineStr">
        <is>
          <t>Money-market calculation</t>
        </is>
      </c>
      <c r="B8" s="2" t="inlineStr">
        <is>
          <t>PV EUR → spot → USD invest</t>
        </is>
      </c>
      <c r="C8" s="2" t="inlineStr">
        <is>
          <t>Formula present; blocked until rates/tenor supplied</t>
        </is>
      </c>
      <c r="D8" s="9" t="inlineStr">
        <is>
          <t>BLOCKED</t>
        </is>
      </c>
      <c r="E8" s="2" t="n"/>
      <c r="F8" s="2" t="n"/>
    </row>
    <row r="9">
      <c r="A9" s="2" t="inlineStr">
        <is>
          <t>Put calculation</t>
        </is>
      </c>
      <c r="B9" s="2" t="inlineStr">
        <is>
          <t>MAX(S_T,K)×FC − FV premium</t>
        </is>
      </c>
      <c r="C9" s="2" t="inlineStr">
        <is>
          <t>Formula present; blocked until strike/premium/rate/tenor supplied</t>
        </is>
      </c>
      <c r="D9" s="9" t="inlineStr">
        <is>
          <t>BLOCKED</t>
        </is>
      </c>
      <c r="E9" s="2" t="n"/>
      <c r="F9" s="2" t="n"/>
    </row>
    <row r="10">
      <c r="A10" s="2" t="inlineStr">
        <is>
          <t>Sensitivity</t>
        </is>
      </c>
      <c r="B10" s="2" t="inlineStr">
        <is>
          <t>21 deterministic spot points</t>
        </is>
      </c>
      <c r="C10" s="2" t="inlineStr">
        <is>
          <t>21 rows from 0.9800 to 1.1980</t>
        </is>
      </c>
      <c r="D10" s="8" t="inlineStr">
        <is>
          <t>PASS</t>
        </is>
      </c>
      <c r="E10" s="2" t="n"/>
      <c r="F10" s="2" t="n"/>
    </row>
    <row r="11">
      <c r="A11" s="2" t="inlineStr">
        <is>
          <t>Winner logic</t>
        </is>
      </c>
      <c r="B11" s="2" t="inlineStr">
        <is>
          <t>Highest USD proceeds among active hedges</t>
        </is>
      </c>
      <c r="C11" s="2" t="inlineStr">
        <is>
          <t>Formula present; blocked when inputs missing</t>
        </is>
      </c>
      <c r="D11" s="9" t="inlineStr">
        <is>
          <t>BLOCKED</t>
        </is>
      </c>
      <c r="E11" s="2" t="n"/>
      <c r="F11" s="2" t="n"/>
    </row>
    <row r="12">
      <c r="A12" s="2" t="inlineStr">
        <is>
          <t>No fabricated market data</t>
        </is>
      </c>
      <c r="B12" s="2" t="inlineStr">
        <is>
          <t>TBD inputs remain TBD</t>
        </is>
      </c>
      <c r="C12" s="2" t="inlineStr">
        <is>
          <t>No invented forward/rate/premium values</t>
        </is>
      </c>
      <c r="D12" s="8" t="inlineStr">
        <is>
          <t>PASS</t>
        </is>
      </c>
      <c r="E12" s="2" t="n"/>
      <c r="F12" s="2" t="n"/>
    </row>
    <row r="13">
      <c r="A13" s="2" t="inlineStr">
        <is>
          <t>Auditability</t>
        </is>
      </c>
      <c r="B13" s="2" t="inlineStr">
        <is>
          <t>Separate audit sheet</t>
        </is>
      </c>
      <c r="C13" s="2" t="inlineStr">
        <is>
          <t>Audit sheet included</t>
        </is>
      </c>
      <c r="D13" s="8" t="inlineStr">
        <is>
          <t>PASS</t>
        </is>
      </c>
      <c r="E13" s="2" t="n"/>
      <c r="F13" s="2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Stage 3 Build &amp; Audit Notes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Purpose: Working workbook generated from Justin Toyama's Phase 2 FX hedging technical specification.</t>
        </is>
      </c>
      <c r="B3" s="2" t="n"/>
      <c r="C3" s="2" t="n"/>
      <c r="D3" s="2" t="n"/>
      <c r="E3" s="2" t="n"/>
      <c r="F3" s="2" t="n"/>
    </row>
    <row r="4">
      <c r="A4" s="2" t="inlineStr">
        <is>
          <t>Scenario: U.S. pharmaceutical exporter with EUR 8,000,000 receivable and 1.0890 USD/EUR inception spot.</t>
        </is>
      </c>
      <c r="B4" s="2" t="n"/>
      <c r="C4" s="2" t="n"/>
      <c r="D4" s="2" t="n"/>
      <c r="E4" s="2" t="n"/>
      <c r="F4" s="2" t="n"/>
    </row>
    <row r="5">
      <c r="A5" s="2" t="inlineStr">
        <is>
          <t>Strategies: No hedge, forward, money-market hedge, and EUR put option.</t>
        </is>
      </c>
      <c r="B5" s="2" t="n"/>
      <c r="C5" s="2" t="n"/>
      <c r="D5" s="2" t="n"/>
      <c r="E5" s="2" t="n"/>
      <c r="F5" s="2" t="n"/>
    </row>
    <row r="6">
      <c r="A6" s="2" t="inlineStr">
        <is>
          <t>Audit principle: Missing market inputs are explicitly blocked rather than invented.</t>
        </is>
      </c>
      <c r="B6" s="2" t="n"/>
      <c r="C6" s="2" t="n"/>
      <c r="D6" s="2" t="n"/>
      <c r="E6" s="2" t="n"/>
      <c r="F6" s="2" t="n"/>
    </row>
    <row r="7">
      <c r="A7" s="2" t="inlineStr">
        <is>
          <t>Required before final recommendation: forward rate, USD rate, EUR rate, settlement tenor, put strike, and put premium.</t>
        </is>
      </c>
      <c r="B7" s="2" t="n"/>
      <c r="C7" s="2" t="n"/>
      <c r="D7" s="2" t="n"/>
      <c r="E7" s="2" t="n"/>
      <c r="F7" s="2" t="n"/>
    </row>
    <row r="8">
      <c r="A8" s="2" t="inlineStr">
        <is>
          <t>Stage 3 skill demonstrated: specification-driven workbook structure plus explicit validation/audit tests.</t>
        </is>
      </c>
      <c r="B8" s="2" t="n"/>
      <c r="C8" s="2" t="n"/>
      <c r="D8" s="2" t="n"/>
      <c r="E8" s="2" t="n"/>
      <c r="F8" s="2" t="n"/>
    </row>
    <row r="9">
      <c r="A9" s="2" t="inlineStr">
        <is>
          <t>Known limitation: formulas are Excel-compatible but cannot calculate complete hedge outcomes until TBD inputs are populated.</t>
        </is>
      </c>
      <c r="B9" s="2" t="n"/>
      <c r="C9" s="2" t="n"/>
      <c r="D9" s="2" t="n"/>
      <c r="E9" s="2" t="n"/>
      <c r="F9" s="2" t="n"/>
    </row>
  </sheetData>
  <mergeCells count="8"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2026-08-07T22:09:17Z</dcterms:created>
  <dcterms:modified xmlns:dcterms="http://purl.org/dc/terms/" xmlns:xsi="http://www.w3.org/2001/XMLSchema-instance" xsi:type="dcterms:W3CDTF">2026-08-07T22:09:17Z</dcterms:modified>
</cp:coreProperties>
</file>